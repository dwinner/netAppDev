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GIT\speechapp_exp\req-ex\"/>
    </mc:Choice>
  </mc:AlternateContent>
  <xr:revisionPtr revIDLastSave="0" documentId="13_ncr:1_{41EA938F-D5FC-498B-9949-DAA41FADFB30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Workpackages" sheetId="1" r:id="rId1"/>
  </sheets>
  <functionGroups builtInGroupCount="19"/>
  <definedNames>
    <definedName name="_xlnm._FilterDatabase" localSheetId="0" hidden="1">Workpackages!$A$1:$Z$255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3" i="1" l="1"/>
  <c r="L23" i="1"/>
  <c r="K23" i="1"/>
  <c r="J23" i="1"/>
  <c r="M20" i="1"/>
  <c r="K20" i="1"/>
  <c r="M16" i="1"/>
  <c r="K16" i="1"/>
  <c r="M14" i="1"/>
  <c r="K14" i="1"/>
  <c r="M11" i="1"/>
  <c r="K11" i="1"/>
  <c r="M9" i="1"/>
  <c r="K9" i="1"/>
  <c r="M5" i="1"/>
  <c r="K5" i="1"/>
  <c r="M3" i="1"/>
  <c r="K3" i="1"/>
</calcChain>
</file>

<file path=xl/sharedStrings.xml><?xml version="1.0" encoding="utf-8"?>
<sst xmlns="http://schemas.openxmlformats.org/spreadsheetml/2006/main" count="46" uniqueCount="34">
  <si>
    <t>Schedule</t>
  </si>
  <si>
    <t>Sum</t>
  </si>
  <si>
    <t>Level</t>
  </si>
  <si>
    <t>from</t>
  </si>
  <si>
    <t>to</t>
  </si>
  <si>
    <t>Effort</t>
  </si>
  <si>
    <t>Effort (internal)</t>
  </si>
  <si>
    <t>No</t>
  </si>
  <si>
    <t>Task</t>
  </si>
  <si>
    <t>Employee</t>
  </si>
  <si>
    <t>Company</t>
  </si>
  <si>
    <t>Task description</t>
  </si>
  <si>
    <r>
      <rPr>
        <b/>
        <sz val="8"/>
        <color rgb="FFFF0000"/>
        <rFont val="Arial"/>
        <family val="2"/>
      </rPr>
      <t>Will be filled out by head of department</t>
    </r>
    <r>
      <rPr>
        <sz val="8"/>
        <rFont val="Arial"/>
        <family val="2"/>
      </rPr>
      <t xml:space="preserve">
Variable portion is aimed for
- MR comments
- Open points clarification
- Support tasks/investigations
- Processing and test of upcoming/yet unknown MRs</t>
    </r>
  </si>
  <si>
    <t>Emso RUS, SSH</t>
  </si>
  <si>
    <t>Architecture</t>
  </si>
  <si>
    <t>Backend</t>
  </si>
  <si>
    <t>Frontend</t>
  </si>
  <si>
    <t>Middleware</t>
  </si>
  <si>
    <t>Server</t>
  </si>
  <si>
    <t>Unit, UI tests</t>
  </si>
  <si>
    <t>Consolidation tasks, deployment</t>
  </si>
  <si>
    <t>- Database activities: 6
- UI prototype: 12
- UML-diagrams: 9
- Initial interfaces, adaptive refactoring: 22</t>
  </si>
  <si>
    <t>Denis Vinevtsev</t>
  </si>
  <si>
    <t>- Database development</t>
  </si>
  <si>
    <t>- Reporting sub-system</t>
  </si>
  <si>
    <t>Emso RUS</t>
  </si>
  <si>
    <t>- Authorization sub-system</t>
  </si>
  <si>
    <t>- Layout implementations: 34
- Developing CRUD views: 40
- Developing filtering views: 30
- Developing wizard views: 16
- Developing search views: 12
- View improvements: 20</t>
  </si>
  <si>
    <t>- Developing HTTP-controllers: 50
- Decorationg actions fot HTTP-controllers: 35</t>
  </si>
  <si>
    <t>- Developing on-action triggers: 24
- Linking server filters: 24
- Adapting configuration:  13</t>
  </si>
  <si>
    <t>- Developing tests</t>
  </si>
  <si>
    <t>- Rich the coverage</t>
  </si>
  <si>
    <t>- Testing views</t>
  </si>
  <si>
    <t>- Review results: 14
- Correction activities: 14   
- Preparing for deployment: 7
- Adapting environment: 15
- Developing release-package: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</si>
</sst>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&quot; h&quot;"/>
    <numFmt numFmtId="165" formatCode="yyyy&quot;-&quot;mm&quot;-&quot;dd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rgb="FFFF0000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1" fillId="0" borderId="0"/>
    <xf numFmtId="0" fontId="7" fillId="0" borderId="0"/>
  </cellStyleXfs>
  <cellXfs count="39">
    <xf numFmtId="0" fontId="0" fillId="0" borderId="0" xfId="0"/>
    <xf numFmtId="0" fontId="3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vertical="top" wrapText="1"/>
    </xf>
    <xf numFmtId="165" fontId="3" fillId="0" borderId="0" xfId="0" applyNumberFormat="1" applyFont="1" applyFill="1" applyBorder="1" applyAlignment="1">
      <alignment horizontal="center" vertical="top"/>
    </xf>
    <xf numFmtId="0" fontId="3" fillId="0" borderId="0" xfId="1" applyFont="1" applyFill="1" applyBorder="1" applyAlignment="1">
      <alignment vertical="top"/>
    </xf>
    <xf numFmtId="0" fontId="3" fillId="0" borderId="0" xfId="1" applyFont="1" applyFill="1" applyBorder="1" applyAlignment="1">
      <alignment vertical="top" wrapText="1"/>
    </xf>
    <xf numFmtId="164" fontId="3" fillId="0" borderId="0" xfId="1" applyNumberFormat="1" applyFont="1" applyFill="1" applyBorder="1" applyAlignment="1">
      <alignment horizontal="center" vertical="top"/>
    </xf>
    <xf numFmtId="164" fontId="3" fillId="0" borderId="0" xfId="1" applyNumberFormat="1" applyFont="1" applyFill="1" applyBorder="1" applyAlignment="1">
      <alignment vertical="top"/>
    </xf>
    <xf numFmtId="0" fontId="3" fillId="2" borderId="0" xfId="1" applyFont="1" applyFill="1" applyBorder="1" applyAlignment="1">
      <alignment vertical="top" wrapText="1"/>
    </xf>
    <xf numFmtId="164" fontId="3" fillId="2" borderId="0" xfId="1" applyNumberFormat="1" applyFont="1" applyFill="1" applyBorder="1" applyAlignment="1">
      <alignment vertical="top"/>
    </xf>
    <xf numFmtId="0" fontId="4" fillId="0" borderId="0" xfId="0" applyFont="1"/>
    <xf numFmtId="164" fontId="3" fillId="0" borderId="0" xfId="1" applyNumberFormat="1" applyFont="1" applyFill="1" applyBorder="1" applyAlignment="1">
      <alignment horizontal="right" vertical="top"/>
    </xf>
    <xf numFmtId="0" fontId="3" fillId="3" borderId="0" xfId="0" applyFont="1" applyFill="1" applyBorder="1" applyAlignment="1">
      <alignment vertical="top" wrapText="1"/>
    </xf>
    <xf numFmtId="165" fontId="3" fillId="4" borderId="0" xfId="0" applyNumberFormat="1" applyFont="1" applyFill="1" applyBorder="1" applyAlignment="1">
      <alignment horizontal="left" vertical="top"/>
    </xf>
    <xf numFmtId="164" fontId="3" fillId="4" borderId="0" xfId="0" applyNumberFormat="1" applyFont="1" applyFill="1" applyBorder="1" applyAlignment="1">
      <alignment vertical="top"/>
    </xf>
    <xf numFmtId="0" fontId="4" fillId="0" borderId="0" xfId="0" applyFont="1" applyAlignment="1"/>
    <xf numFmtId="0" fontId="3" fillId="3" borderId="0" xfId="0" applyFont="1" applyFill="1" applyBorder="1" applyAlignment="1">
      <alignment vertical="top"/>
    </xf>
    <xf numFmtId="0" fontId="5" fillId="2" borderId="0" xfId="1" applyFont="1" applyFill="1" applyBorder="1" applyAlignment="1">
      <alignment horizontal="left" vertical="top"/>
    </xf>
    <xf numFmtId="0" fontId="5" fillId="3" borderId="0" xfId="0" applyFont="1" applyFill="1" applyBorder="1" applyAlignment="1">
      <alignment vertical="top"/>
    </xf>
    <xf numFmtId="0" fontId="5" fillId="3" borderId="0" xfId="0" applyFont="1" applyFill="1" applyBorder="1" applyAlignment="1">
      <alignment vertical="top" wrapText="1"/>
    </xf>
    <xf numFmtId="164" fontId="3" fillId="0" borderId="0" xfId="0" applyNumberFormat="1" applyFont="1" applyFill="1" applyBorder="1" applyAlignment="1">
      <alignment horizontal="center" vertical="top"/>
    </xf>
    <xf numFmtId="0" fontId="3" fillId="0" borderId="0" xfId="3" applyFont="1" applyFill="1" applyBorder="1" applyAlignment="1">
      <alignment vertical="top" wrapText="1"/>
    </xf>
    <xf numFmtId="0" fontId="3" fillId="0" borderId="0" xfId="1" quotePrefix="1" applyFont="1" applyFill="1" applyBorder="1" applyAlignment="1">
      <alignment vertical="top" wrapText="1"/>
    </xf>
    <xf numFmtId="0" fontId="5" fillId="2" borderId="0" xfId="1" applyFont="1" applyFill="1" applyAlignment="1">
      <alignment horizontal="left" vertical="top"/>
    </xf>
    <xf numFmtId="0" fontId="3" fillId="2" borderId="0" xfId="1" applyFont="1" applyFill="1" applyAlignment="1">
      <alignment vertical="top" wrapText="1"/>
    </xf>
    <xf numFmtId="165" fontId="3" fillId="2" borderId="0" xfId="1" applyNumberFormat="1" applyFont="1" applyFill="1" applyAlignment="1">
      <alignment horizontal="left" vertical="top"/>
    </xf>
    <xf numFmtId="164" fontId="3" fillId="2" borderId="0" xfId="1" applyNumberFormat="1" applyFont="1" applyFill="1" applyAlignment="1">
      <alignment vertical="top"/>
    </xf>
    <xf numFmtId="0" fontId="3" fillId="0" borderId="0" xfId="1" quotePrefix="1" applyFont="1" applyAlignment="1">
      <alignment vertical="top" wrapText="1"/>
    </xf>
    <xf numFmtId="164" fontId="3" fillId="0" borderId="0" xfId="1" applyNumberFormat="1" applyFont="1" applyAlignment="1">
      <alignment horizontal="right" vertical="top"/>
    </xf>
    <xf numFmtId="164" fontId="3" fillId="0" borderId="0" xfId="1" applyNumberFormat="1" applyFont="1" applyAlignment="1">
      <alignment vertical="top"/>
    </xf>
    <xf numFmtId="0" fontId="4" fillId="0" borderId="0" xfId="0" applyFont="1" applyAlignment="1">
      <alignment horizontal="left" vertical="top" wrapText="1"/>
    </xf>
    <xf numFmtId="0" fontId="4" fillId="0" borderId="0" xfId="0" quotePrefix="1" applyFont="1" applyAlignment="1">
      <alignment wrapText="1"/>
    </xf>
    <xf numFmtId="164" fontId="3" fillId="0" borderId="0" xfId="0" applyNumberFormat="1" applyFont="1" applyFill="1" applyBorder="1" applyAlignment="1">
      <alignment horizontal="center" vertical="top"/>
    </xf>
    <xf numFmtId="165" fontId="3" fillId="0" borderId="0" xfId="1" applyNumberFormat="1" applyFont="1" applyFill="1" applyBorder="1" applyAlignment="1">
      <alignment horizontal="center" vertical="top"/>
    </xf>
    <xf numFmtId="0" fontId="5" fillId="2" borderId="0" xfId="1" applyFont="1" applyFill="1" applyBorder="1" applyAlignment="1">
      <alignment vertical="top" wrapText="1"/>
    </xf>
    <xf numFmtId="0" fontId="5" fillId="2" borderId="0" xfId="1" applyFont="1" applyFill="1" applyAlignment="1">
      <alignment vertical="top" wrapText="1"/>
    </xf>
    <xf numFmtId="0" fontId="4" fillId="0" borderId="0" xfId="0" quotePrefix="1" applyFont="1" applyAlignment="1">
      <alignment horizontal="left" vertical="top" wrapText="1"/>
    </xf>
  </cellXfs>
  <cellStyles count="5">
    <cellStyle name="Normal" xfId="0" builtinId="0"/>
    <cellStyle name="Normal 2" xfId="4" xr:uid="{09CDDDC3-EC1F-422C-95A9-AAEABD4FFF6F}"/>
    <cellStyle name="Standard 2" xfId="2" xr:uid="{00000000-0005-0000-0000-000001000000}"/>
    <cellStyle name="Standard 2 2" xfId="3" xr:uid="{00000000-0005-0000-0000-000002000000}"/>
    <cellStyle name="Standard 3" xfId="1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/>
  </sheetPr>
  <dimension ref="A1:O23"/>
  <sheetViews>
    <sheetView tabSelected="1" zoomScaleNormal="100" workbookViewId="0">
      <selection activeCell="J19" sqref="J19"/>
    </sheetView>
  </sheetViews>
  <sheetFormatPr defaultColWidth="11.42578125" defaultRowHeight="11.25" outlineLevelRow="1" x14ac:dyDescent="0.2"/>
  <cols>
    <col min="1" max="1" width="2.85546875" style="12" bestFit="1" customWidth="1"/>
    <col min="2" max="2" width="4.28515625" style="12" bestFit="1" customWidth="1"/>
    <col min="3" max="3" width="15" style="17" customWidth="1"/>
    <col min="4" max="4" width="18.85546875" style="12" bestFit="1" customWidth="1"/>
    <col min="5" max="5" width="6.7109375" style="12" bestFit="1" customWidth="1"/>
    <col min="6" max="6" width="7.5703125" style="12" customWidth="1"/>
    <col min="7" max="7" width="59" style="12" customWidth="1"/>
    <col min="8" max="9" width="9" style="12" bestFit="1" customWidth="1"/>
    <col min="10" max="10" width="11.42578125" style="12"/>
    <col min="11" max="11" width="8.28515625" style="12" customWidth="1"/>
    <col min="12" max="12" width="11.42578125" style="12"/>
    <col min="13" max="13" width="7.85546875" style="12" bestFit="1" customWidth="1"/>
    <col min="14" max="14" width="70.140625" style="12" customWidth="1"/>
    <col min="15" max="15" width="7.42578125" style="12" bestFit="1" customWidth="1"/>
    <col min="16" max="16384" width="11.42578125" style="12"/>
  </cols>
  <sheetData>
    <row r="1" spans="1:15" ht="11.25" customHeight="1" x14ac:dyDescent="0.2">
      <c r="A1" s="6"/>
      <c r="B1" s="7"/>
      <c r="C1" s="6"/>
      <c r="D1" s="7"/>
      <c r="E1" s="7"/>
      <c r="F1" s="7"/>
      <c r="G1" s="7"/>
      <c r="H1" s="35" t="s">
        <v>0</v>
      </c>
      <c r="I1" s="35"/>
      <c r="J1" s="8"/>
      <c r="K1" s="8" t="s">
        <v>1</v>
      </c>
      <c r="L1" s="8"/>
      <c r="M1" s="8" t="s">
        <v>1</v>
      </c>
      <c r="N1" s="7"/>
      <c r="O1" s="8"/>
    </row>
    <row r="2" spans="1:15" s="1" customFormat="1" x14ac:dyDescent="0.25">
      <c r="A2" s="1" t="s">
        <v>7</v>
      </c>
      <c r="B2" s="2" t="s">
        <v>8</v>
      </c>
      <c r="C2" s="2"/>
      <c r="D2" s="3"/>
      <c r="E2" s="4" t="s">
        <v>2</v>
      </c>
      <c r="F2" s="4"/>
      <c r="G2" s="4" t="s">
        <v>11</v>
      </c>
      <c r="H2" s="5" t="s">
        <v>3</v>
      </c>
      <c r="I2" s="5" t="s">
        <v>4</v>
      </c>
      <c r="J2" s="34" t="s">
        <v>5</v>
      </c>
      <c r="K2" s="34"/>
      <c r="L2" s="34" t="s">
        <v>6</v>
      </c>
      <c r="M2" s="34"/>
      <c r="N2" s="4" t="s">
        <v>9</v>
      </c>
      <c r="O2" s="22" t="s">
        <v>10</v>
      </c>
    </row>
    <row r="3" spans="1:15" x14ac:dyDescent="0.2">
      <c r="A3" s="25">
        <v>1</v>
      </c>
      <c r="B3" s="37" t="s">
        <v>14</v>
      </c>
      <c r="C3" s="37"/>
      <c r="D3" s="37"/>
      <c r="E3" s="26"/>
      <c r="F3" s="26"/>
      <c r="G3" s="26"/>
      <c r="H3" s="27"/>
      <c r="I3" s="27"/>
      <c r="J3" s="28"/>
      <c r="K3" s="28">
        <f>SUM(J4:J4)</f>
        <v>49</v>
      </c>
      <c r="L3" s="28"/>
      <c r="M3" s="28">
        <f>SUM(L4:L4)</f>
        <v>49</v>
      </c>
      <c r="N3" s="26" t="s">
        <v>22</v>
      </c>
      <c r="O3" s="28" t="s">
        <v>13</v>
      </c>
    </row>
    <row r="4" spans="1:15" ht="45" outlineLevel="1" x14ac:dyDescent="0.2">
      <c r="C4" s="12"/>
      <c r="G4" s="29" t="s">
        <v>21</v>
      </c>
      <c r="J4" s="30">
        <v>49</v>
      </c>
      <c r="K4" s="31"/>
      <c r="L4" s="30">
        <v>49</v>
      </c>
    </row>
    <row r="5" spans="1:15" x14ac:dyDescent="0.2">
      <c r="A5" s="19">
        <v>2</v>
      </c>
      <c r="B5" s="36" t="s">
        <v>15</v>
      </c>
      <c r="C5" s="36"/>
      <c r="D5" s="36"/>
      <c r="E5" s="10"/>
      <c r="F5" s="10"/>
      <c r="G5" s="10"/>
      <c r="H5" s="27"/>
      <c r="I5" s="27"/>
      <c r="J5" s="11"/>
      <c r="K5" s="11">
        <f>SUM(J6:J8)</f>
        <v>46</v>
      </c>
      <c r="L5" s="11"/>
      <c r="M5" s="11">
        <f>SUM(L6:L8)</f>
        <v>46</v>
      </c>
      <c r="N5" s="26" t="s">
        <v>22</v>
      </c>
      <c r="O5" s="28" t="s">
        <v>13</v>
      </c>
    </row>
    <row r="6" spans="1:15" outlineLevel="1" x14ac:dyDescent="0.2">
      <c r="C6" s="38"/>
      <c r="G6" s="24" t="s">
        <v>23</v>
      </c>
      <c r="J6" s="13">
        <v>18</v>
      </c>
      <c r="K6" s="9"/>
      <c r="L6" s="13">
        <v>18</v>
      </c>
    </row>
    <row r="7" spans="1:15" outlineLevel="1" x14ac:dyDescent="0.2">
      <c r="C7" s="32"/>
      <c r="G7" s="24" t="s">
        <v>26</v>
      </c>
      <c r="J7" s="13">
        <v>12</v>
      </c>
      <c r="K7" s="9"/>
      <c r="L7" s="13">
        <v>12</v>
      </c>
    </row>
    <row r="8" spans="1:15" outlineLevel="1" x14ac:dyDescent="0.2">
      <c r="C8" s="32"/>
      <c r="G8" s="24" t="s">
        <v>24</v>
      </c>
      <c r="J8" s="13">
        <v>16</v>
      </c>
      <c r="K8" s="9"/>
      <c r="L8" s="13">
        <v>16</v>
      </c>
    </row>
    <row r="9" spans="1:15" x14ac:dyDescent="0.2">
      <c r="A9" s="19">
        <v>3</v>
      </c>
      <c r="B9" s="36" t="s">
        <v>16</v>
      </c>
      <c r="C9" s="36"/>
      <c r="D9" s="36"/>
      <c r="E9" s="10"/>
      <c r="F9" s="10"/>
      <c r="G9" s="10"/>
      <c r="H9" s="27"/>
      <c r="I9" s="27"/>
      <c r="J9" s="11"/>
      <c r="K9" s="11">
        <f>SUM(J10:J10)</f>
        <v>152</v>
      </c>
      <c r="L9" s="11"/>
      <c r="M9" s="11">
        <f>SUM(L10:L10)</f>
        <v>152</v>
      </c>
      <c r="N9" s="26" t="s">
        <v>22</v>
      </c>
      <c r="O9" s="28" t="s">
        <v>13</v>
      </c>
    </row>
    <row r="10" spans="1:15" ht="67.5" outlineLevel="1" x14ac:dyDescent="0.2">
      <c r="G10" s="24" t="s">
        <v>27</v>
      </c>
      <c r="J10" s="13">
        <v>152</v>
      </c>
      <c r="K10" s="9"/>
      <c r="L10" s="13">
        <v>152</v>
      </c>
    </row>
    <row r="11" spans="1:15" x14ac:dyDescent="0.2">
      <c r="A11" s="19">
        <v>4</v>
      </c>
      <c r="B11" s="36" t="s">
        <v>17</v>
      </c>
      <c r="C11" s="36"/>
      <c r="D11" s="36"/>
      <c r="E11" s="10"/>
      <c r="F11" s="10"/>
      <c r="G11" s="10"/>
      <c r="H11" s="27"/>
      <c r="I11" s="27"/>
      <c r="J11" s="11"/>
      <c r="K11" s="11">
        <f>SUM(J12:J13)</f>
        <v>85</v>
      </c>
      <c r="L11" s="11"/>
      <c r="M11" s="11">
        <f>SUM(L12:L13)</f>
        <v>85</v>
      </c>
      <c r="N11" s="26" t="s">
        <v>22</v>
      </c>
      <c r="O11" s="28" t="s">
        <v>25</v>
      </c>
    </row>
    <row r="12" spans="1:15" ht="22.5" outlineLevel="1" x14ac:dyDescent="0.2">
      <c r="C12" s="23"/>
      <c r="G12" s="24" t="s">
        <v>28</v>
      </c>
      <c r="J12" s="9">
        <v>85</v>
      </c>
      <c r="K12" s="9"/>
      <c r="L12" s="9">
        <v>85</v>
      </c>
    </row>
    <row r="13" spans="1:15" outlineLevel="1" x14ac:dyDescent="0.2">
      <c r="C13" s="23"/>
      <c r="G13" s="24"/>
      <c r="J13" s="9"/>
      <c r="K13" s="9"/>
      <c r="L13" s="9"/>
    </row>
    <row r="14" spans="1:15" x14ac:dyDescent="0.2">
      <c r="A14" s="19">
        <v>5</v>
      </c>
      <c r="B14" s="36" t="s">
        <v>18</v>
      </c>
      <c r="C14" s="36"/>
      <c r="D14" s="36"/>
      <c r="E14" s="10"/>
      <c r="F14" s="10"/>
      <c r="G14" s="10"/>
      <c r="H14" s="27"/>
      <c r="I14" s="27"/>
      <c r="J14" s="11"/>
      <c r="K14" s="11">
        <f>SUM(J15:J15)</f>
        <v>61</v>
      </c>
      <c r="L14" s="11"/>
      <c r="M14" s="11">
        <f>SUM(L15:L15)</f>
        <v>61</v>
      </c>
      <c r="N14" s="26" t="s">
        <v>22</v>
      </c>
      <c r="O14" s="28" t="s">
        <v>13</v>
      </c>
    </row>
    <row r="15" spans="1:15" ht="33.75" outlineLevel="1" x14ac:dyDescent="0.2">
      <c r="D15" s="23"/>
      <c r="G15" s="24" t="s">
        <v>29</v>
      </c>
      <c r="J15" s="9">
        <v>61</v>
      </c>
      <c r="K15" s="9"/>
      <c r="L15" s="9">
        <v>61</v>
      </c>
    </row>
    <row r="16" spans="1:15" x14ac:dyDescent="0.2">
      <c r="A16" s="25">
        <v>6</v>
      </c>
      <c r="B16" s="37" t="s">
        <v>19</v>
      </c>
      <c r="C16" s="37"/>
      <c r="D16" s="37"/>
      <c r="E16" s="26"/>
      <c r="F16" s="26"/>
      <c r="G16" s="26"/>
      <c r="H16" s="27"/>
      <c r="I16" s="27"/>
      <c r="J16" s="28"/>
      <c r="K16" s="28">
        <f>SUM(J17:J19)</f>
        <v>33</v>
      </c>
      <c r="L16" s="28"/>
      <c r="M16" s="28">
        <f>SUM(L17:L19)</f>
        <v>33</v>
      </c>
      <c r="N16" s="26" t="s">
        <v>22</v>
      </c>
      <c r="O16" s="28" t="s">
        <v>13</v>
      </c>
    </row>
    <row r="17" spans="1:15" outlineLevel="1" x14ac:dyDescent="0.2">
      <c r="C17" s="12"/>
      <c r="G17" s="33" t="s">
        <v>30</v>
      </c>
      <c r="J17" s="30">
        <v>16</v>
      </c>
      <c r="K17" s="31"/>
      <c r="L17" s="31">
        <v>16</v>
      </c>
    </row>
    <row r="18" spans="1:15" outlineLevel="1" x14ac:dyDescent="0.2">
      <c r="C18" s="12"/>
      <c r="G18" s="33" t="s">
        <v>31</v>
      </c>
      <c r="J18" s="30">
        <v>5</v>
      </c>
      <c r="K18" s="31"/>
      <c r="L18" s="31">
        <v>5</v>
      </c>
    </row>
    <row r="19" spans="1:15" outlineLevel="1" x14ac:dyDescent="0.2">
      <c r="C19" s="12"/>
      <c r="G19" s="33" t="s">
        <v>32</v>
      </c>
      <c r="J19" s="30">
        <v>12</v>
      </c>
      <c r="K19" s="31"/>
      <c r="L19" s="31">
        <v>12</v>
      </c>
    </row>
    <row r="20" spans="1:15" x14ac:dyDescent="0.2">
      <c r="A20" s="19">
        <v>7</v>
      </c>
      <c r="B20" s="36" t="s">
        <v>20</v>
      </c>
      <c r="C20" s="36"/>
      <c r="D20" s="36"/>
      <c r="E20" s="10"/>
      <c r="F20" s="10"/>
      <c r="G20" s="10"/>
      <c r="H20" s="27"/>
      <c r="I20" s="27"/>
      <c r="J20" s="11"/>
      <c r="K20" s="11">
        <f>SUM(J21:J22)</f>
        <v>54</v>
      </c>
      <c r="L20" s="11"/>
      <c r="M20" s="11">
        <f>SUM(L21:L22)</f>
        <v>54</v>
      </c>
      <c r="N20" s="26" t="s">
        <v>22</v>
      </c>
      <c r="O20" s="28" t="s">
        <v>13</v>
      </c>
    </row>
    <row r="21" spans="1:15" ht="56.25" outlineLevel="1" collapsed="1" x14ac:dyDescent="0.2">
      <c r="G21" s="24" t="s">
        <v>33</v>
      </c>
      <c r="J21" s="9">
        <v>54</v>
      </c>
      <c r="K21" s="9"/>
      <c r="L21" s="9">
        <v>54</v>
      </c>
    </row>
    <row r="22" spans="1:15" ht="67.5" hidden="1" outlineLevel="1" x14ac:dyDescent="0.2">
      <c r="G22" s="7" t="s">
        <v>12</v>
      </c>
      <c r="J22" s="9"/>
      <c r="K22" s="9"/>
      <c r="L22" s="9">
        <v>0</v>
      </c>
    </row>
    <row r="23" spans="1:15" s="1" customFormat="1" x14ac:dyDescent="0.25">
      <c r="A23" s="20"/>
      <c r="B23" s="21"/>
      <c r="C23" s="18"/>
      <c r="D23" s="14"/>
      <c r="E23" s="14"/>
      <c r="F23" s="14"/>
      <c r="G23" s="14"/>
      <c r="H23" s="15"/>
      <c r="I23" s="15"/>
      <c r="J23" s="16">
        <f>SUM(J3:J22)</f>
        <v>480</v>
      </c>
      <c r="K23" s="16">
        <f>SUM(K3:K22)</f>
        <v>480</v>
      </c>
      <c r="L23" s="16">
        <f>SUM(L3:L22)</f>
        <v>480</v>
      </c>
      <c r="M23" s="16">
        <f>SUM(M3:M22)</f>
        <v>480</v>
      </c>
      <c r="N23" s="14"/>
      <c r="O23" s="16"/>
    </row>
  </sheetData>
  <autoFilter ref="A1:Z255" xr:uid="{00000000-0009-0000-0000-000000000000}">
    <filterColumn colId="7" showButton="0"/>
  </autoFilter>
  <mergeCells count="10">
    <mergeCell ref="L2:M2"/>
    <mergeCell ref="J2:K2"/>
    <mergeCell ref="H1:I1"/>
    <mergeCell ref="B20:D20"/>
    <mergeCell ref="B9:D9"/>
    <mergeCell ref="B16:D16"/>
    <mergeCell ref="B11:D11"/>
    <mergeCell ref="B3:D3"/>
    <mergeCell ref="B14:D14"/>
    <mergeCell ref="B5:D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Workpackages</vt:lpstr>
    </vt:vector>
  </TitlesOfParts>
  <Company>Schleissheimer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</dc:creator>
  <cp:lastModifiedBy>Denis Vinevtsev</cp:lastModifiedBy>
  <dcterms:created xsi:type="dcterms:W3CDTF">2017-01-10T09:44:50Z</dcterms:created>
  <dcterms:modified xsi:type="dcterms:W3CDTF">2020-03-03T10:15:31Z</dcterms:modified>
</cp:coreProperties>
</file>